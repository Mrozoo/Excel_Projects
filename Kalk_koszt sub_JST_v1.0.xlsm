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en_skoroszyt" defaultThemeVersion="164011"/>
  <mc:AlternateContent xmlns:mc="http://schemas.openxmlformats.org/markup-compatibility/2006">
    <mc:Choice Requires="x15">
      <x15ac:absPath xmlns:x15ac="http://schemas.microsoft.com/office/spreadsheetml/2010/11/ac" url="C:\Users\mmroz\Desktop\"/>
    </mc:Choice>
  </mc:AlternateContent>
  <bookViews>
    <workbookView minimized="1" xWindow="0" yWindow="0" windowWidth="12120" windowHeight="7590"/>
  </bookViews>
  <sheets>
    <sheet name="Kalkulator" sheetId="1" r:id="rId1"/>
    <sheet name="Dane" sheetId="2" r:id="rId2"/>
    <sheet name="Pomocniczy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7" i="3" l="1"/>
  <c r="E16" i="3"/>
  <c r="E15" i="3"/>
  <c r="E14" i="3"/>
  <c r="E6" i="3"/>
  <c r="E7" i="3"/>
  <c r="E8" i="3"/>
  <c r="E5" i="3"/>
  <c r="C15" i="3" l="1"/>
  <c r="G15" i="3" s="1"/>
  <c r="F15" i="1" s="1"/>
  <c r="C16" i="3"/>
  <c r="G16" i="3" s="1"/>
  <c r="F16" i="1" s="1"/>
  <c r="C17" i="3"/>
  <c r="G17" i="3" s="1"/>
  <c r="F17" i="1" s="1"/>
  <c r="C14" i="3"/>
  <c r="G14" i="3" s="1"/>
  <c r="F14" i="1" s="1"/>
  <c r="C6" i="3"/>
  <c r="G6" i="3" s="1"/>
  <c r="F6" i="1" s="1"/>
  <c r="C7" i="3"/>
  <c r="G7" i="3" s="1"/>
  <c r="F7" i="1" s="1"/>
  <c r="C8" i="3"/>
  <c r="G8" i="3" s="1"/>
  <c r="F8" i="1" s="1"/>
  <c r="C5" i="3"/>
  <c r="F19" i="1" l="1"/>
  <c r="G19" i="3"/>
  <c r="G5" i="3" l="1"/>
  <c r="F5" i="1" s="1"/>
  <c r="G10" i="3" l="1"/>
  <c r="F10" i="1"/>
</calcChain>
</file>

<file path=xl/sharedStrings.xml><?xml version="1.0" encoding="utf-8"?>
<sst xmlns="http://schemas.openxmlformats.org/spreadsheetml/2006/main" count="70" uniqueCount="22">
  <si>
    <t>sieć gazowa</t>
  </si>
  <si>
    <t>sieć energetyczna</t>
  </si>
  <si>
    <t>Budowa</t>
  </si>
  <si>
    <t>Bodowa jednoski</t>
  </si>
  <si>
    <t>[PLN/KM]</t>
  </si>
  <si>
    <t>sieć wodociągowa</t>
  </si>
  <si>
    <t>Predefiniowane koszty jednostkowe</t>
  </si>
  <si>
    <t>sieć drogowa</t>
  </si>
  <si>
    <t>Utrzymanie roczne jednostki</t>
  </si>
  <si>
    <t>Utrzymanie/konserwacja rocznie</t>
  </si>
  <si>
    <t>Jednostkowe koszty budowy</t>
  </si>
  <si>
    <t>Roczne koszty utrzymania</t>
  </si>
  <si>
    <t>cena budowy 1 km</t>
  </si>
  <si>
    <t>liczba km</t>
  </si>
  <si>
    <t>cena utrzymania 1 km</t>
  </si>
  <si>
    <t>KOSZT</t>
  </si>
  <si>
    <t>Koszt całkowity</t>
  </si>
  <si>
    <t>typ</t>
  </si>
  <si>
    <t>Całkowity roczny koszt utrzymania</t>
  </si>
  <si>
    <t>Wartość domyślna. Wpisz jeśli inna.</t>
  </si>
  <si>
    <t>Koszt całkowity budowy</t>
  </si>
  <si>
    <t>podaj liczbę kilometrów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</si>
</sst>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4" formatCode="_-* #,##0.00\ &quot;zł&quot;_-;\-* #,##0.00\ &quot;zł&quot;_-;_-* &quot;-&quot;??\ &quot;zł&quot;_-;_-@_-"/>
  </numFmts>
  <fonts count="6" x14ac:knownFonts="1"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b/>
      <i/>
      <sz val="11"/>
      <color theme="1"/>
      <name val="Calibri"/>
      <family val="2"/>
      <charset val="238"/>
      <scheme val="minor"/>
    </font>
    <font>
      <b/>
      <sz val="8"/>
      <color rgb="FF000000"/>
      <name val="Calibri"/>
      <family val="2"/>
      <charset val="238"/>
    </font>
    <font>
      <b/>
      <sz val="12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 tint="0.399975585192419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44" fontId="0" fillId="0" borderId="0" xfId="1" applyFont="1"/>
    <xf numFmtId="0" fontId="0" fillId="4" borderId="0" xfId="0" applyFill="1" applyAlignment="1">
      <alignment horizontal="left"/>
    </xf>
    <xf numFmtId="0" fontId="0" fillId="6" borderId="0" xfId="0" applyFill="1" applyAlignment="1">
      <alignment horizontal="left"/>
    </xf>
    <xf numFmtId="0" fontId="2" fillId="0" borderId="0" xfId="0" applyFont="1"/>
    <xf numFmtId="0" fontId="2" fillId="4" borderId="0" xfId="0" applyFont="1" applyFill="1"/>
    <xf numFmtId="0" fontId="2" fillId="6" borderId="0" xfId="0" applyFont="1" applyFill="1"/>
    <xf numFmtId="0" fontId="2" fillId="5" borderId="0" xfId="0" applyFont="1" applyFill="1"/>
    <xf numFmtId="0" fontId="3" fillId="0" borderId="0" xfId="0" applyFont="1"/>
    <xf numFmtId="44" fontId="3" fillId="0" borderId="0" xfId="1" applyFont="1"/>
    <xf numFmtId="0" fontId="0" fillId="3" borderId="0" xfId="0" applyFill="1" applyAlignment="1">
      <alignment horizontal="center"/>
    </xf>
  </cellXfs>
  <cellStyles count="2">
    <cellStyle name="Normalny" xfId="0" builtinId="0"/>
    <cellStyle name="Walutowy" xfId="1" builtinId="4"/>
  </cellStyles>
  <dxfs count="7">
    <dxf>
      <font>
        <b val="0"/>
        <i/>
        <color theme="2" tint="-0.24994659260841701"/>
      </font>
    </dxf>
    <dxf>
      <font>
        <b val="0"/>
        <i/>
        <color theme="2" tint="-0.24994659260841701"/>
      </font>
    </dxf>
    <dxf>
      <font>
        <b val="0"/>
        <i/>
        <color theme="2" tint="-0.24994659260841701"/>
      </font>
    </dxf>
    <dxf>
      <font>
        <b val="0"/>
        <i/>
        <color theme="2" tint="-0.24994659260841701"/>
      </font>
    </dxf>
    <dxf>
      <font>
        <b val="0"/>
        <i/>
        <color theme="2" tint="-0.24994659260841701"/>
      </font>
    </dxf>
    <dxf>
      <font>
        <b val="0"/>
        <i/>
        <u/>
        <color theme="2" tint="-9.9948118533890809E-2"/>
      </font>
    </dxf>
    <dxf>
      <font>
        <b val="0"/>
        <i/>
        <u/>
        <color theme="2" tint="-9.9948118533890809E-2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Jednostkowe koszty budowy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Kalkulator!$B$5</c:f>
              <c:strCache>
                <c:ptCount val="1"/>
                <c:pt idx="0">
                  <c:v>sieć drogowa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Kalkulator!$F$4</c:f>
              <c:strCache>
                <c:ptCount val="1"/>
                <c:pt idx="0">
                  <c:v>KOSZT</c:v>
                </c:pt>
              </c:strCache>
            </c:strRef>
          </c:cat>
          <c:val>
            <c:numRef>
              <c:f>Kalkulator!$F$5</c:f>
              <c:numCache>
                <c:formatCode>_("zł"* #,##0.00_);_("zł"* \(#,##0.00\);_("zł"*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6-4EBE-B4D9-90E6D33DE013}"/>
            </c:ext>
          </c:extLst>
        </c:ser>
        <c:ser>
          <c:idx val="1"/>
          <c:order val="1"/>
          <c:tx>
            <c:strRef>
              <c:f>Kalkulator!$B$6</c:f>
              <c:strCache>
                <c:ptCount val="1"/>
                <c:pt idx="0">
                  <c:v>sieć gazowa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Kalkulator!$F$4</c:f>
              <c:strCache>
                <c:ptCount val="1"/>
                <c:pt idx="0">
                  <c:v>KOSZT</c:v>
                </c:pt>
              </c:strCache>
            </c:strRef>
          </c:cat>
          <c:val>
            <c:numRef>
              <c:f>Kalkulator!$F$6</c:f>
              <c:numCache>
                <c:formatCode>_("zł"* #,##0.00_);_("zł"* \(#,##0.00\);_("zł"*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546-4EBE-B4D9-90E6D33DE013}"/>
            </c:ext>
          </c:extLst>
        </c:ser>
        <c:ser>
          <c:idx val="2"/>
          <c:order val="2"/>
          <c:tx>
            <c:strRef>
              <c:f>Kalkulator!$B$7</c:f>
              <c:strCache>
                <c:ptCount val="1"/>
                <c:pt idx="0">
                  <c:v>sieć energetyczna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Kalkulator!$F$4</c:f>
              <c:strCache>
                <c:ptCount val="1"/>
                <c:pt idx="0">
                  <c:v>KOSZT</c:v>
                </c:pt>
              </c:strCache>
            </c:strRef>
          </c:cat>
          <c:val>
            <c:numRef>
              <c:f>Kalkulator!$F$7</c:f>
              <c:numCache>
                <c:formatCode>_("zł"* #,##0.00_);_("zł"* \(#,##0.00\);_("zł"*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46-4EBE-B4D9-90E6D33DE013}"/>
            </c:ext>
          </c:extLst>
        </c:ser>
        <c:ser>
          <c:idx val="3"/>
          <c:order val="3"/>
          <c:tx>
            <c:strRef>
              <c:f>Kalkulator!$B$8</c:f>
              <c:strCache>
                <c:ptCount val="1"/>
                <c:pt idx="0">
                  <c:v>sieć wodociągowa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Kalkulator!$F$4</c:f>
              <c:strCache>
                <c:ptCount val="1"/>
                <c:pt idx="0">
                  <c:v>KOSZT</c:v>
                </c:pt>
              </c:strCache>
            </c:strRef>
          </c:cat>
          <c:val>
            <c:numRef>
              <c:f>Kalkulator!$F$8</c:f>
              <c:numCache>
                <c:formatCode>_("zł"* #,##0.00_);_("zł"* \(#,##0.00\);_("zł"*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546-4EBE-B4D9-90E6D33DE0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0898239"/>
        <c:axId val="640902399"/>
      </c:barChart>
      <c:catAx>
        <c:axId val="6408982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40902399"/>
        <c:crosses val="autoZero"/>
        <c:auto val="1"/>
        <c:lblAlgn val="ctr"/>
        <c:lblOffset val="100"/>
        <c:noMultiLvlLbl val="0"/>
      </c:catAx>
      <c:valAx>
        <c:axId val="6409023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408982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l-PL"/>
              <a:t>Roczne koszty utrzymania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Kalkulator!$B$14</c:f>
              <c:strCache>
                <c:ptCount val="1"/>
                <c:pt idx="0">
                  <c:v>sieć drogowa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Kalkulator!$F$4</c:f>
              <c:strCache>
                <c:ptCount val="1"/>
                <c:pt idx="0">
                  <c:v>KOSZT</c:v>
                </c:pt>
              </c:strCache>
            </c:strRef>
          </c:cat>
          <c:val>
            <c:numRef>
              <c:f>Kalkulator!$F$14</c:f>
              <c:numCache>
                <c:formatCode>_("zł"* #,##0.00_);_("zł"* \(#,##0.00\);_("zł"*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01-4E96-850F-00BE2ADACCC5}"/>
            </c:ext>
          </c:extLst>
        </c:ser>
        <c:ser>
          <c:idx val="1"/>
          <c:order val="1"/>
          <c:tx>
            <c:strRef>
              <c:f>Kalkulator!$B$15</c:f>
              <c:strCache>
                <c:ptCount val="1"/>
                <c:pt idx="0">
                  <c:v>sieć gazowa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Kalkulator!$F$4</c:f>
              <c:strCache>
                <c:ptCount val="1"/>
                <c:pt idx="0">
                  <c:v>KOSZT</c:v>
                </c:pt>
              </c:strCache>
            </c:strRef>
          </c:cat>
          <c:val>
            <c:numRef>
              <c:f>Kalkulator!$F$15</c:f>
              <c:numCache>
                <c:formatCode>_("zł"* #,##0.00_);_("zł"* \(#,##0.00\);_("zł"*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01-4E96-850F-00BE2ADACCC5}"/>
            </c:ext>
          </c:extLst>
        </c:ser>
        <c:ser>
          <c:idx val="2"/>
          <c:order val="2"/>
          <c:tx>
            <c:strRef>
              <c:f>Kalkulator!$B$16</c:f>
              <c:strCache>
                <c:ptCount val="1"/>
                <c:pt idx="0">
                  <c:v>sieć energetyczna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Kalkulator!$F$4</c:f>
              <c:strCache>
                <c:ptCount val="1"/>
                <c:pt idx="0">
                  <c:v>KOSZT</c:v>
                </c:pt>
              </c:strCache>
            </c:strRef>
          </c:cat>
          <c:val>
            <c:numRef>
              <c:f>Kalkulator!$F$16</c:f>
              <c:numCache>
                <c:formatCode>_("zł"* #,##0.00_);_("zł"* \(#,##0.00\);_("zł"*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F01-4E96-850F-00BE2ADACCC5}"/>
            </c:ext>
          </c:extLst>
        </c:ser>
        <c:ser>
          <c:idx val="3"/>
          <c:order val="3"/>
          <c:tx>
            <c:strRef>
              <c:f>Kalkulator!$B$17</c:f>
              <c:strCache>
                <c:ptCount val="1"/>
                <c:pt idx="0">
                  <c:v>sieć wodociągowa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Kalkulator!$F$4</c:f>
              <c:strCache>
                <c:ptCount val="1"/>
                <c:pt idx="0">
                  <c:v>KOSZT</c:v>
                </c:pt>
              </c:strCache>
            </c:strRef>
          </c:cat>
          <c:val>
            <c:numRef>
              <c:f>Kalkulator!$F$17</c:f>
              <c:numCache>
                <c:formatCode>_("zł"* #,##0.00_);_("zł"* \(#,##0.00\);_("zł"* "-"??_);_(@_)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F01-4E96-850F-00BE2ADACC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46896991"/>
        <c:axId val="646898239"/>
      </c:barChart>
      <c:catAx>
        <c:axId val="646896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46898239"/>
        <c:crosses val="autoZero"/>
        <c:auto val="1"/>
        <c:lblAlgn val="ctr"/>
        <c:lblOffset val="100"/>
        <c:noMultiLvlLbl val="0"/>
      </c:catAx>
      <c:valAx>
        <c:axId val="6468982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zł&quot;* #,##0.00_);_(&quot;zł&quot;* \(#,##0.00\);_(&quot;zł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6468969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4</xdr:row>
          <xdr:rowOff>47625</xdr:rowOff>
        </xdr:from>
        <xdr:to>
          <xdr:col>8</xdr:col>
          <xdr:colOff>552450</xdr:colOff>
          <xdr:row>6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cenę budowy za 1 km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7</xdr:row>
          <xdr:rowOff>28575</xdr:rowOff>
        </xdr:from>
        <xdr:to>
          <xdr:col>8</xdr:col>
          <xdr:colOff>542925</xdr:colOff>
          <xdr:row>8</xdr:row>
          <xdr:rowOff>180975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liczbę kilometrów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</xdr:row>
          <xdr:rowOff>57150</xdr:rowOff>
        </xdr:from>
        <xdr:to>
          <xdr:col>11</xdr:col>
          <xdr:colOff>485775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wszystko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4</xdr:row>
          <xdr:rowOff>47625</xdr:rowOff>
        </xdr:from>
        <xdr:to>
          <xdr:col>8</xdr:col>
          <xdr:colOff>552450</xdr:colOff>
          <xdr:row>6</xdr:row>
          <xdr:rowOff>142875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cenę budowy za 1 km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7</xdr:row>
          <xdr:rowOff>28575</xdr:rowOff>
        </xdr:from>
        <xdr:to>
          <xdr:col>8</xdr:col>
          <xdr:colOff>542925</xdr:colOff>
          <xdr:row>8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liczbę kilometrów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4</xdr:row>
          <xdr:rowOff>57150</xdr:rowOff>
        </xdr:from>
        <xdr:to>
          <xdr:col>11</xdr:col>
          <xdr:colOff>485775</xdr:colOff>
          <xdr:row>9</xdr:row>
          <xdr:rowOff>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wszystko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14</xdr:row>
          <xdr:rowOff>47625</xdr:rowOff>
        </xdr:from>
        <xdr:to>
          <xdr:col>8</xdr:col>
          <xdr:colOff>552450</xdr:colOff>
          <xdr:row>16</xdr:row>
          <xdr:rowOff>142875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cenę budowy za 1 km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17</xdr:row>
          <xdr:rowOff>28575</xdr:rowOff>
        </xdr:from>
        <xdr:to>
          <xdr:col>8</xdr:col>
          <xdr:colOff>542925</xdr:colOff>
          <xdr:row>18</xdr:row>
          <xdr:rowOff>180975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liczbę kilometrów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14</xdr:row>
          <xdr:rowOff>57150</xdr:rowOff>
        </xdr:from>
        <xdr:to>
          <xdr:col>11</xdr:col>
          <xdr:colOff>485775</xdr:colOff>
          <xdr:row>19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wszystko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14</xdr:row>
          <xdr:rowOff>47625</xdr:rowOff>
        </xdr:from>
        <xdr:to>
          <xdr:col>8</xdr:col>
          <xdr:colOff>552450</xdr:colOff>
          <xdr:row>16</xdr:row>
          <xdr:rowOff>142875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cenę utrzymania 1 km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95250</xdr:colOff>
          <xdr:row>17</xdr:row>
          <xdr:rowOff>28575</xdr:rowOff>
        </xdr:from>
        <xdr:to>
          <xdr:col>8</xdr:col>
          <xdr:colOff>542925</xdr:colOff>
          <xdr:row>18</xdr:row>
          <xdr:rowOff>180975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l-PL" sz="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liczbę kilometrów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14</xdr:row>
          <xdr:rowOff>57150</xdr:rowOff>
        </xdr:from>
        <xdr:to>
          <xdr:col>11</xdr:col>
          <xdr:colOff>485775</xdr:colOff>
          <xdr:row>19</xdr:row>
          <xdr:rowOff>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l-PL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Wyczyść wszystko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390525</xdr:colOff>
      <xdr:row>21</xdr:row>
      <xdr:rowOff>76199</xdr:rowOff>
    </xdr:from>
    <xdr:to>
      <xdr:col>4</xdr:col>
      <xdr:colOff>104775</xdr:colOff>
      <xdr:row>35</xdr:row>
      <xdr:rowOff>180974</xdr:rowOff>
    </xdr:to>
    <xdr:graphicFrame macro="">
      <xdr:nvGraphicFramePr>
        <xdr:cNvPr id="4" name="Wykres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400050</xdr:colOff>
      <xdr:row>21</xdr:row>
      <xdr:rowOff>85724</xdr:rowOff>
    </xdr:from>
    <xdr:to>
      <xdr:col>11</xdr:col>
      <xdr:colOff>552450</xdr:colOff>
      <xdr:row>35</xdr:row>
      <xdr:rowOff>190499</xdr:rowOff>
    </xdr:to>
    <xdr:graphicFrame macro="">
      <xdr:nvGraphicFramePr>
        <xdr:cNvPr id="5" name="Wykres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1"/>
  <dimension ref="B3:F19"/>
  <sheetViews>
    <sheetView tabSelected="1" zoomScaleNormal="100" workbookViewId="0">
      <selection activeCell="C5" sqref="C5"/>
    </sheetView>
  </sheetViews>
  <sheetFormatPr defaultRowHeight="15" x14ac:dyDescent="0.25"/>
  <cols>
    <col min="2" max="2" width="31.85546875" bestFit="1" customWidth="1"/>
    <col min="3" max="3" width="33.28515625" bestFit="1" customWidth="1"/>
    <col min="4" max="4" width="22.5703125" bestFit="1" customWidth="1"/>
    <col min="5" max="5" width="12" customWidth="1"/>
    <col min="6" max="6" width="34" bestFit="1" customWidth="1"/>
    <col min="7" max="7" width="12" customWidth="1"/>
  </cols>
  <sheetData>
    <row r="3" spans="2:6" x14ac:dyDescent="0.25">
      <c r="B3" s="1" t="s">
        <v>10</v>
      </c>
    </row>
    <row r="4" spans="2:6" x14ac:dyDescent="0.25">
      <c r="C4" t="s">
        <v>12</v>
      </c>
      <c r="D4" t="s">
        <v>13</v>
      </c>
      <c r="F4" t="s">
        <v>15</v>
      </c>
    </row>
    <row r="5" spans="2:6" x14ac:dyDescent="0.25">
      <c r="B5" t="s">
        <v>7</v>
      </c>
      <c r="C5" t="s">
        <v>19</v>
      </c>
      <c r="D5" t="s">
        <v>21</v>
      </c>
      <c r="F5" s="3">
        <f>IFERROR(Pomocniczy!G5, "Wprowadzono niepoprawne dane!")</f>
        <v>0</v>
      </c>
    </row>
    <row r="6" spans="2:6" x14ac:dyDescent="0.25">
      <c r="B6" t="s">
        <v>0</v>
      </c>
      <c r="C6" t="s">
        <v>19</v>
      </c>
      <c r="D6" t="s">
        <v>21</v>
      </c>
      <c r="F6" s="3">
        <f>IFERROR(Pomocniczy!G6, "Wprowadzono niepoprawne dane!")</f>
        <v>0</v>
      </c>
    </row>
    <row r="7" spans="2:6" x14ac:dyDescent="0.25">
      <c r="B7" t="s">
        <v>1</v>
      </c>
      <c r="C7" t="s">
        <v>19</v>
      </c>
      <c r="D7" t="s">
        <v>21</v>
      </c>
      <c r="F7" s="3">
        <f>IFERROR(Pomocniczy!G7, "Wprowadzono niepoprawne dane!")</f>
        <v>0</v>
      </c>
    </row>
    <row r="8" spans="2:6" x14ac:dyDescent="0.25">
      <c r="B8" t="s">
        <v>5</v>
      </c>
      <c r="C8" t="s">
        <v>19</v>
      </c>
      <c r="D8" t="s">
        <v>21</v>
      </c>
      <c r="F8" s="3">
        <f>IFERROR(Pomocniczy!G8, "Wprowadzono niepoprawne dane!")</f>
        <v>0</v>
      </c>
    </row>
    <row r="10" spans="2:6" x14ac:dyDescent="0.25">
      <c r="B10" s="10" t="s">
        <v>20</v>
      </c>
      <c r="F10" s="11">
        <f>SUM(F5:F8)</f>
        <v>0</v>
      </c>
    </row>
    <row r="12" spans="2:6" x14ac:dyDescent="0.25">
      <c r="B12" s="2" t="s">
        <v>11</v>
      </c>
    </row>
    <row r="13" spans="2:6" x14ac:dyDescent="0.25">
      <c r="C13" t="s">
        <v>14</v>
      </c>
      <c r="D13" t="s">
        <v>13</v>
      </c>
    </row>
    <row r="14" spans="2:6" x14ac:dyDescent="0.25">
      <c r="B14" t="s">
        <v>7</v>
      </c>
      <c r="C14" t="s">
        <v>19</v>
      </c>
      <c r="D14" t="s">
        <v>21</v>
      </c>
      <c r="F14" s="3">
        <f>IFERROR(Pomocniczy!G14, "Wprowadzono niepoprawne dane!")</f>
        <v>0</v>
      </c>
    </row>
    <row r="15" spans="2:6" x14ac:dyDescent="0.25">
      <c r="B15" t="s">
        <v>0</v>
      </c>
      <c r="C15" t="s">
        <v>19</v>
      </c>
      <c r="D15" t="s">
        <v>21</v>
      </c>
      <c r="F15" s="3">
        <f>IFERROR(Pomocniczy!G15, "Wprowadzono niepoprawne dane!")</f>
        <v>0</v>
      </c>
    </row>
    <row r="16" spans="2:6" x14ac:dyDescent="0.25">
      <c r="B16" t="s">
        <v>1</v>
      </c>
      <c r="C16" t="s">
        <v>19</v>
      </c>
      <c r="D16" t="s">
        <v>21</v>
      </c>
      <c r="F16" s="3">
        <f>IFERROR(Pomocniczy!G16, "Wprowadzono niepoprawne dane!")</f>
        <v>0</v>
      </c>
    </row>
    <row r="17" spans="2:6" x14ac:dyDescent="0.25">
      <c r="B17" t="s">
        <v>5</v>
      </c>
      <c r="C17" t="s">
        <v>19</v>
      </c>
      <c r="D17" t="s">
        <v>21</v>
      </c>
      <c r="F17" s="3">
        <f>IFERROR(Pomocniczy!G17, "Wprowadzono niepoprawne dane!")</f>
        <v>0</v>
      </c>
    </row>
    <row r="19" spans="2:6" x14ac:dyDescent="0.25">
      <c r="B19" s="10" t="s">
        <v>18</v>
      </c>
      <c r="F19" s="11">
        <f>SUM(F14:F17)</f>
        <v>0</v>
      </c>
    </row>
  </sheetData>
  <conditionalFormatting sqref="C5:C8">
    <cfRule type="containsText" dxfId="6" priority="7" operator="containsText" text="wartość domyślna">
      <formula>NOT(ISERROR(SEARCH("wartość domyślna",C5)))</formula>
    </cfRule>
  </conditionalFormatting>
  <conditionalFormatting sqref="C14:C17">
    <cfRule type="containsText" dxfId="5" priority="6" operator="containsText" text="wartość domyślna">
      <formula>NOT(ISERROR(SEARCH("wartość domyślna",C14)))</formula>
    </cfRule>
  </conditionalFormatting>
  <conditionalFormatting sqref="D5:D8">
    <cfRule type="containsText" dxfId="4" priority="5" operator="containsText" text="podaj liczbę kilometrów">
      <formula>NOT(ISERROR(SEARCH("podaj liczbę kilometrów",D5)))</formula>
    </cfRule>
  </conditionalFormatting>
  <conditionalFormatting sqref="D14">
    <cfRule type="containsText" dxfId="3" priority="4" operator="containsText" text="podaj liczbę kilometrów">
      <formula>NOT(ISERROR(SEARCH("podaj liczbę kilometrów",D14)))</formula>
    </cfRule>
  </conditionalFormatting>
  <conditionalFormatting sqref="D15">
    <cfRule type="containsText" dxfId="2" priority="3" operator="containsText" text="podaj liczbę kilometrów">
      <formula>NOT(ISERROR(SEARCH("podaj liczbę kilometrów",D15)))</formula>
    </cfRule>
  </conditionalFormatting>
  <conditionalFormatting sqref="D16">
    <cfRule type="containsText" dxfId="1" priority="2" operator="containsText" text="podaj liczbę kilometrów">
      <formula>NOT(ISERROR(SEARCH("podaj liczbę kilometrów",D16)))</formula>
    </cfRule>
  </conditionalFormatting>
  <conditionalFormatting sqref="D17">
    <cfRule type="containsText" dxfId="0" priority="1" operator="containsText" text="podaj liczbę kilometrów">
      <formula>NOT(ISERROR(SEARCH("podaj liczbę kilometrów",D17)))</formula>
    </cfRule>
  </conditionalFormatting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JKB_czyszczenie_CB1km">
                <anchor moveWithCells="1" sizeWithCells="1">
                  <from>
                    <xdr:col>7</xdr:col>
                    <xdr:colOff>95250</xdr:colOff>
                    <xdr:row>4</xdr:row>
                    <xdr:rowOff>47625</xdr:rowOff>
                  </from>
                  <to>
                    <xdr:col>8</xdr:col>
                    <xdr:colOff>552450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JKB_czyszczenie_lkm">
                <anchor moveWithCells="1" sizeWithCells="1">
                  <from>
                    <xdr:col>7</xdr:col>
                    <xdr:colOff>95250</xdr:colOff>
                    <xdr:row>7</xdr:row>
                    <xdr:rowOff>28575</xdr:rowOff>
                  </from>
                  <to>
                    <xdr:col>8</xdr:col>
                    <xdr:colOff>542925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JKB_wyczysc_wszystko">
                <anchor moveWithCells="1" sizeWithCells="1">
                  <from>
                    <xdr:col>9</xdr:col>
                    <xdr:colOff>209550</xdr:colOff>
                    <xdr:row>4</xdr:row>
                    <xdr:rowOff>57150</xdr:rowOff>
                  </from>
                  <to>
                    <xdr:col>11</xdr:col>
                    <xdr:colOff>485775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JKB_czyszczenie_CB1km">
                <anchor moveWithCells="1" sizeWithCells="1">
                  <from>
                    <xdr:col>7</xdr:col>
                    <xdr:colOff>95250</xdr:colOff>
                    <xdr:row>4</xdr:row>
                    <xdr:rowOff>47625</xdr:rowOff>
                  </from>
                  <to>
                    <xdr:col>8</xdr:col>
                    <xdr:colOff>552450</xdr:colOff>
                    <xdr:row>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JKB_czyszczenie_lkm">
                <anchor moveWithCells="1" sizeWithCells="1">
                  <from>
                    <xdr:col>7</xdr:col>
                    <xdr:colOff>95250</xdr:colOff>
                    <xdr:row>7</xdr:row>
                    <xdr:rowOff>28575</xdr:rowOff>
                  </from>
                  <to>
                    <xdr:col>8</xdr:col>
                    <xdr:colOff>542925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JKB_wyczysc_wszystko">
                <anchor moveWithCells="1" sizeWithCells="1">
                  <from>
                    <xdr:col>9</xdr:col>
                    <xdr:colOff>209550</xdr:colOff>
                    <xdr:row>4</xdr:row>
                    <xdr:rowOff>57150</xdr:rowOff>
                  </from>
                  <to>
                    <xdr:col>11</xdr:col>
                    <xdr:colOff>485775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JKB_czyszczenie_CB1km">
                <anchor moveWithCells="1" sizeWithCells="1">
                  <from>
                    <xdr:col>7</xdr:col>
                    <xdr:colOff>95250</xdr:colOff>
                    <xdr:row>14</xdr:row>
                    <xdr:rowOff>47625</xdr:rowOff>
                  </from>
                  <to>
                    <xdr:col>8</xdr:col>
                    <xdr:colOff>552450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JKB_czyszczenie_lkm">
                <anchor moveWithCells="1" sizeWithCells="1">
                  <from>
                    <xdr:col>7</xdr:col>
                    <xdr:colOff>95250</xdr:colOff>
                    <xdr:row>17</xdr:row>
                    <xdr:rowOff>28575</xdr:rowOff>
                  </from>
                  <to>
                    <xdr:col>8</xdr:col>
                    <xdr:colOff>542925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JKB_wyczysc_wszystko">
                <anchor moveWithCells="1" sizeWithCells="1">
                  <from>
                    <xdr:col>9</xdr:col>
                    <xdr:colOff>209550</xdr:colOff>
                    <xdr:row>14</xdr:row>
                    <xdr:rowOff>57150</xdr:rowOff>
                  </from>
                  <to>
                    <xdr:col>11</xdr:col>
                    <xdr:colOff>485775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RKU_wyczysc_CU1km">
                <anchor moveWithCells="1" sizeWithCells="1">
                  <from>
                    <xdr:col>7</xdr:col>
                    <xdr:colOff>95250</xdr:colOff>
                    <xdr:row>14</xdr:row>
                    <xdr:rowOff>47625</xdr:rowOff>
                  </from>
                  <to>
                    <xdr:col>8</xdr:col>
                    <xdr:colOff>552450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RKU_wyczysc_Lkm">
                <anchor moveWithCells="1" sizeWithCells="1">
                  <from>
                    <xdr:col>7</xdr:col>
                    <xdr:colOff>95250</xdr:colOff>
                    <xdr:row>17</xdr:row>
                    <xdr:rowOff>28575</xdr:rowOff>
                  </from>
                  <to>
                    <xdr:col>8</xdr:col>
                    <xdr:colOff>542925</xdr:colOff>
                    <xdr:row>18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RKU_wyczysc_wszystko">
                <anchor moveWithCells="1" sizeWithCells="1">
                  <from>
                    <xdr:col>9</xdr:col>
                    <xdr:colOff>209550</xdr:colOff>
                    <xdr:row>14</xdr:row>
                    <xdr:rowOff>57150</xdr:rowOff>
                  </from>
                  <to>
                    <xdr:col>11</xdr:col>
                    <xdr:colOff>485775</xdr:colOff>
                    <xdr:row>19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2"/>
  <dimension ref="A1:E6"/>
  <sheetViews>
    <sheetView workbookViewId="0">
      <selection activeCell="D7" sqref="D7"/>
    </sheetView>
  </sheetViews>
  <sheetFormatPr defaultRowHeight="15" x14ac:dyDescent="0.25"/>
  <cols>
    <col min="1" max="1" width="34.140625" bestFit="1" customWidth="1"/>
    <col min="2" max="2" width="24.28515625" customWidth="1"/>
    <col min="3" max="3" width="16.28515625" bestFit="1" customWidth="1"/>
    <col min="4" max="4" width="46.42578125" customWidth="1"/>
    <col min="5" max="5" width="26.7109375" bestFit="1" customWidth="1"/>
  </cols>
  <sheetData>
    <row r="1" spans="1:5" x14ac:dyDescent="0.25">
      <c r="A1" s="12" t="s">
        <v>6</v>
      </c>
      <c r="B1" s="12"/>
      <c r="C1" s="12"/>
      <c r="D1" s="12"/>
      <c r="E1" s="12"/>
    </row>
    <row r="2" spans="1:5" x14ac:dyDescent="0.25">
      <c r="A2" s="9" t="s">
        <v>17</v>
      </c>
      <c r="B2" s="7" t="s">
        <v>2</v>
      </c>
      <c r="C2" s="6" t="s">
        <v>3</v>
      </c>
      <c r="D2" s="8" t="s">
        <v>9</v>
      </c>
      <c r="E2" s="6" t="s">
        <v>8</v>
      </c>
    </row>
    <row r="3" spans="1:5" x14ac:dyDescent="0.25">
      <c r="A3" t="s">
        <v>7</v>
      </c>
      <c r="B3" s="4">
        <v>35897</v>
      </c>
      <c r="C3" t="s">
        <v>4</v>
      </c>
      <c r="D3" s="5">
        <v>1000</v>
      </c>
      <c r="E3" t="s">
        <v>4</v>
      </c>
    </row>
    <row r="4" spans="1:5" x14ac:dyDescent="0.25">
      <c r="A4" t="s">
        <v>0</v>
      </c>
      <c r="B4" s="4">
        <v>10000</v>
      </c>
      <c r="C4" t="s">
        <v>4</v>
      </c>
      <c r="D4" s="5">
        <v>1001</v>
      </c>
      <c r="E4" t="s">
        <v>4</v>
      </c>
    </row>
    <row r="5" spans="1:5" x14ac:dyDescent="0.25">
      <c r="A5" t="s">
        <v>1</v>
      </c>
      <c r="B5" s="4">
        <v>10000</v>
      </c>
      <c r="C5" t="s">
        <v>4</v>
      </c>
      <c r="D5" s="5">
        <v>1002</v>
      </c>
      <c r="E5" t="s">
        <v>4</v>
      </c>
    </row>
    <row r="6" spans="1:5" x14ac:dyDescent="0.25">
      <c r="A6" t="s">
        <v>5</v>
      </c>
      <c r="B6" s="4">
        <v>10000</v>
      </c>
      <c r="C6" t="s">
        <v>4</v>
      </c>
      <c r="D6" s="5">
        <v>1003</v>
      </c>
      <c r="E6" t="s">
        <v>4</v>
      </c>
    </row>
  </sheetData>
  <mergeCells count="1">
    <mergeCell ref="A1:E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B3:L19"/>
  <sheetViews>
    <sheetView workbookViewId="0">
      <selection activeCell="L5" sqref="L5"/>
    </sheetView>
  </sheetViews>
  <sheetFormatPr defaultRowHeight="15" x14ac:dyDescent="0.25"/>
  <cols>
    <col min="2" max="2" width="26.85546875" bestFit="1" customWidth="1"/>
    <col min="3" max="3" width="20.28515625" bestFit="1" customWidth="1"/>
    <col min="4" max="4" width="20.28515625" customWidth="1"/>
    <col min="11" max="11" width="33.140625" bestFit="1" customWidth="1"/>
    <col min="12" max="12" width="22.5703125" bestFit="1" customWidth="1"/>
  </cols>
  <sheetData>
    <row r="3" spans="2:12" x14ac:dyDescent="0.25">
      <c r="B3" s="1" t="s">
        <v>10</v>
      </c>
    </row>
    <row r="4" spans="2:12" x14ac:dyDescent="0.25">
      <c r="C4" t="s">
        <v>12</v>
      </c>
      <c r="E4" t="s">
        <v>13</v>
      </c>
      <c r="G4" t="s">
        <v>15</v>
      </c>
    </row>
    <row r="5" spans="2:12" x14ac:dyDescent="0.25">
      <c r="B5" t="s">
        <v>7</v>
      </c>
      <c r="C5" t="str">
        <f>Kalkulator!C5</f>
        <v>Wartość domyślna. Wpisz jeśli inna.</v>
      </c>
      <c r="E5">
        <f>IF(Kalkulator!D5="podaj liczbę kilometrów", 0, Kalkulator!D5)</f>
        <v>0</v>
      </c>
      <c r="G5">
        <f>IF(OR(C5=0, C5="Wartość domyślna. Wpisz jeśli inna."), Dane!B3*Pomocniczy!E5, Pomocniczy!C5*Pomocniczy!E5)</f>
        <v>0</v>
      </c>
      <c r="K5" t="s">
        <v>19</v>
      </c>
      <c r="L5" t="s">
        <v>21</v>
      </c>
    </row>
    <row r="6" spans="2:12" x14ac:dyDescent="0.25">
      <c r="B6" t="s">
        <v>0</v>
      </c>
      <c r="C6" t="str">
        <f>Kalkulator!C6</f>
        <v>Wartość domyślna. Wpisz jeśli inna.</v>
      </c>
      <c r="E6">
        <f>IF(Kalkulator!D6="podaj liczbę kilometrów", 0, Kalkulator!D6)</f>
        <v>0</v>
      </c>
      <c r="G6">
        <f>IF(OR(C6=0, C6="Wartość domyślna. Wpisz jeśli inna."), Dane!B4*Pomocniczy!E6, Pomocniczy!C6*Pomocniczy!E6)</f>
        <v>0</v>
      </c>
    </row>
    <row r="7" spans="2:12" x14ac:dyDescent="0.25">
      <c r="B7" t="s">
        <v>1</v>
      </c>
      <c r="C7" t="str">
        <f>Kalkulator!C7</f>
        <v>Wartość domyślna. Wpisz jeśli inna.</v>
      </c>
      <c r="E7">
        <f>IF(Kalkulator!D7="podaj liczbę kilometrów", 0, Kalkulator!D7)</f>
        <v>0</v>
      </c>
      <c r="G7">
        <f>IF(OR(C7=0, C7="Wartość domyślna. Wpisz jeśli inna."), Dane!B5*Pomocniczy!E7, Pomocniczy!C7*Pomocniczy!E7)</f>
        <v>0</v>
      </c>
    </row>
    <row r="8" spans="2:12" x14ac:dyDescent="0.25">
      <c r="B8" t="s">
        <v>5</v>
      </c>
      <c r="C8" t="str">
        <f>Kalkulator!C8</f>
        <v>Wartość domyślna. Wpisz jeśli inna.</v>
      </c>
      <c r="E8">
        <f>IF(Kalkulator!D8="podaj liczbę kilometrów", 0, Kalkulator!D8)</f>
        <v>0</v>
      </c>
      <c r="G8">
        <f>IF(OR(C8=0, C8="Wartość domyślna. Wpisz jeśli inna."), Dane!B6*Pomocniczy!E8, Pomocniczy!C8*Pomocniczy!E8)</f>
        <v>0</v>
      </c>
    </row>
    <row r="10" spans="2:12" x14ac:dyDescent="0.25">
      <c r="B10" t="s">
        <v>16</v>
      </c>
      <c r="G10">
        <f>SUM(G5:G8)</f>
        <v>0</v>
      </c>
    </row>
    <row r="12" spans="2:12" x14ac:dyDescent="0.25">
      <c r="B12" s="2" t="s">
        <v>11</v>
      </c>
    </row>
    <row r="13" spans="2:12" x14ac:dyDescent="0.25">
      <c r="C13" t="s">
        <v>14</v>
      </c>
      <c r="E13" t="s">
        <v>13</v>
      </c>
    </row>
    <row r="14" spans="2:12" x14ac:dyDescent="0.25">
      <c r="B14" t="s">
        <v>7</v>
      </c>
      <c r="C14" t="str">
        <f>Kalkulator!C14</f>
        <v>Wartość domyślna. Wpisz jeśli inna.</v>
      </c>
      <c r="E14">
        <f>IF(Kalkulator!D14="podaj liczbę kilometrów", 0, Kalkulator!D14)</f>
        <v>0</v>
      </c>
      <c r="G14">
        <f>IF(OR(C14=0, C14="Wartość domyślna. Wpisz jeśli inna."), Dane!D3*Pomocniczy!E14, Pomocniczy!C14*Pomocniczy!E14)</f>
        <v>0</v>
      </c>
    </row>
    <row r="15" spans="2:12" x14ac:dyDescent="0.25">
      <c r="B15" t="s">
        <v>0</v>
      </c>
      <c r="C15" t="str">
        <f>Kalkulator!C15</f>
        <v>Wartość domyślna. Wpisz jeśli inna.</v>
      </c>
      <c r="E15">
        <f>IF(Kalkulator!D15="podaj liczbę kilometrów", 0, Kalkulator!D15)</f>
        <v>0</v>
      </c>
      <c r="G15">
        <f>IF(OR(C15=0, C15="Wartość domyślna. Wpisz jeśli inna."), Dane!D4*Pomocniczy!E15, Pomocniczy!C15*Pomocniczy!E15)</f>
        <v>0</v>
      </c>
    </row>
    <row r="16" spans="2:12" x14ac:dyDescent="0.25">
      <c r="B16" t="s">
        <v>1</v>
      </c>
      <c r="C16" t="str">
        <f>Kalkulator!C16</f>
        <v>Wartość domyślna. Wpisz jeśli inna.</v>
      </c>
      <c r="E16">
        <f>IF(Kalkulator!D16="podaj liczbę kilometrów", 0, Kalkulator!D16)</f>
        <v>0</v>
      </c>
      <c r="G16">
        <f>IF(OR(C16=0, C16="Wartość domyślna. Wpisz jeśli inna."), Dane!D5*Pomocniczy!E16, Pomocniczy!C16*Pomocniczy!E16)</f>
        <v>0</v>
      </c>
    </row>
    <row r="17" spans="2:7" x14ac:dyDescent="0.25">
      <c r="B17" t="s">
        <v>5</v>
      </c>
      <c r="C17" t="str">
        <f>Kalkulator!C17</f>
        <v>Wartość domyślna. Wpisz jeśli inna.</v>
      </c>
      <c r="E17">
        <f>IF(Kalkulator!D17="podaj liczbę kilometrów", 0, Kalkulator!D17)</f>
        <v>0</v>
      </c>
      <c r="G17">
        <f>IF(OR(C17=0, C17="Wartość domyślna. Wpisz jeśli inna."), Dane!D6*Pomocniczy!E17, Pomocniczy!C17*Pomocniczy!E17)</f>
        <v>0</v>
      </c>
    </row>
    <row r="19" spans="2:7" x14ac:dyDescent="0.25">
      <c r="B19" t="s">
        <v>16</v>
      </c>
      <c r="G19">
        <f>SUM(G14:G17)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Kalkulator</vt:lpstr>
      <vt:lpstr>Dane</vt:lpstr>
      <vt:lpstr>Pomocniczy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Maciej Mróz</dc:creator>
  <cp:lastModifiedBy>Maciej Mróz</cp:lastModifiedBy>
  <dcterms:created xsi:type="dcterms:W3CDTF">2022-10-19T12:18:05Z</dcterms:created>
  <dcterms:modified xsi:type="dcterms:W3CDTF">2022-11-03T15:02:55Z</dcterms:modified>
</cp:coreProperties>
</file>